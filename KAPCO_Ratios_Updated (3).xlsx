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Cross-Sectional Analysis 2025" sheetId="2" r:id="rId6"/>
  </sheets>
  <definedNames/>
  <calcPr/>
</workbook>
</file>

<file path=xl/sharedStrings.xml><?xml version="1.0" encoding="utf-8"?>
<sst xmlns="http://schemas.openxmlformats.org/spreadsheetml/2006/main" count="94" uniqueCount="82">
  <si>
    <t>KAPCO (Kot Addu Power Co.) 5 Year Analysis</t>
  </si>
  <si>
    <t>Item (PKR millions)</t>
  </si>
  <si>
    <t>Turnover (Revenue)</t>
  </si>
  <si>
    <t>Gross Profit</t>
  </si>
  <si>
    <t>EBIT (Operating Profit)</t>
  </si>
  <si>
    <t>Finance Cost (Interest)</t>
  </si>
  <si>
    <t>Net Profit After Tax</t>
  </si>
  <si>
    <t>Current Assets</t>
  </si>
  <si>
    <t>Current Liabilities</t>
  </si>
  <si>
    <t>Total Assets</t>
  </si>
  <si>
    <t>Total Equity</t>
  </si>
  <si>
    <t>Inventory</t>
  </si>
  <si>
    <t>Trade Receivables/Debts</t>
  </si>
  <si>
    <t>Cost of Goods Sold (COGS)</t>
  </si>
  <si>
    <t>Total Liabilities</t>
  </si>
  <si>
    <t>Capital Employed</t>
  </si>
  <si>
    <t>RATIO CALCULATIONS</t>
  </si>
  <si>
    <t>Liquidity Ratios</t>
  </si>
  <si>
    <t>Current Ratio (CA/CL)</t>
  </si>
  <si>
    <t>Quick Ratio (CA-Inv)/CL</t>
  </si>
  <si>
    <t>Activity Ratios</t>
  </si>
  <si>
    <t>Inventory Turnover (COGS/ Avg Inventory)</t>
  </si>
  <si>
    <t>Receivables Turnover (Revenue/Avg Recievables)</t>
  </si>
  <si>
    <t>Total Asset Turnover (Rev/Avg TA)</t>
  </si>
  <si>
    <t>Debt Ratios</t>
  </si>
  <si>
    <t>Debt Ratio (total liabilities/total assets)</t>
  </si>
  <si>
    <t>Debt-to-Equity (total Liabilities/ total equity)</t>
  </si>
  <si>
    <t>Coverage Ratio</t>
  </si>
  <si>
    <t>Interest Coverage (EBIT/Interest OR FInance Cost)</t>
  </si>
  <si>
    <t>Profitability Ratios</t>
  </si>
  <si>
    <t>Gross Profit Margin (Gross Profit/Revenue)</t>
  </si>
  <si>
    <t>Net Profit Margin (NP/Revenue)</t>
  </si>
  <si>
    <t>Return on Assets (NP/Total Assets)</t>
  </si>
  <si>
    <t>Return on Equity (NP/Total Equity)</t>
  </si>
  <si>
    <t>Return on Capital Employed(ROCE) = (EBIT/CE)</t>
  </si>
  <si>
    <t>CROSS-SECTIONAL FINANCIAL ANALYSIS — FY2025</t>
  </si>
  <si>
    <t>Pakistan Power Generation &amp; Distribution Sector | Figures in PKR Millions</t>
  </si>
  <si>
    <t>Metric</t>
  </si>
  <si>
    <t>KAPCO
(Kot Addu Power Co.)</t>
  </si>
  <si>
    <t>HUBCO
(Hub Power Co.)</t>
  </si>
  <si>
    <t>Variance
(KAPCO – HUBCO)</t>
  </si>
  <si>
    <t>KEY FINANCIAL DATA (PKR Millions)</t>
  </si>
  <si>
    <t>Revenue (Turnover)</t>
  </si>
  <si>
    <t>Trade Receivables</t>
  </si>
  <si>
    <t>LIQUIDITY RATIOS</t>
  </si>
  <si>
    <t>Current Ratio  (CA ÷ CL)</t>
  </si>
  <si>
    <t>Quick Ratio  ((CA−Inventory) ÷ CL)</t>
  </si>
  <si>
    <t>ACTIVITY (EFFICIENCY) RATIOS</t>
  </si>
  <si>
    <t>Inventory Turnover  (COGS ÷ Avg Inventory)</t>
  </si>
  <si>
    <t>Receivables Turnover  (Revenue ÷ Avg Receivables)</t>
  </si>
  <si>
    <t>Total Asset Turnover  (Revenue ÷ Avg Total Assets)</t>
  </si>
  <si>
    <t>DEBT (LEVERAGE) RATIOS</t>
  </si>
  <si>
    <t>Debt Ratio  (Total Liabilities/Total Assets)</t>
  </si>
  <si>
    <t>Debt-to-Equity  (Total Liabilities/Total Equity)</t>
  </si>
  <si>
    <t>COVERAGE RATIO</t>
  </si>
  <si>
    <t>Interest Coverage  (EBIT/Finance Cost)</t>
  </si>
  <si>
    <t>PROFITABILITY RATIOS</t>
  </si>
  <si>
    <t>Gross Profit Margin  (Gross Profit ÷ Revenue)</t>
  </si>
  <si>
    <t>Operating Profit Margin  (EBIT ÷ Revenue)</t>
  </si>
  <si>
    <t>Net Profit Margin  (Net Profit ÷ Revenue)</t>
  </si>
  <si>
    <t>Return on Assets  (Net Profit ÷ Total Assets)</t>
  </si>
  <si>
    <t>Return on Equity  (Net Profit ÷ Total Equity)</t>
  </si>
  <si>
    <t>ROCE  (EBIT ÷ Capital Employed)</t>
  </si>
  <si>
    <t>COMPARATIVE INTERPRETATION &amp; KEY FINDINGS</t>
  </si>
  <si>
    <t>LIQUIDITY</t>
  </si>
  <si>
    <t>Exceptionally strong. Current ratio of 7.83x and quick ratio of 6.35x reflect KAPCO's wind-down of operations (PPA expiry), leaving minimal liabilities against a still-sizeable asset base.</t>
  </si>
  <si>
    <t>Moderate liquidity. Current ratio of ~1.31x is typical for a large operating IPP with ongoing fuel procurement, debt servicing and project financing obligations.</t>
  </si>
  <si>
    <t>LEVERAGE / SOLVENCY</t>
  </si>
  <si>
    <t>Near debt-free. Debt ratio of only 12.5% and D/E of 0.14x shows KAPCO is almost entirely equity-financed — very low financial risk but limited growth leverage.</t>
  </si>
  <si>
    <t>Moderately leveraged. Debt ratio ~57.9% and D/E ~1.38x reflect HUBCO's large infrastructure investments in coal, hydel and EV ventures funded partly by debt.</t>
  </si>
  <si>
    <t>INTEREST COVERAGE</t>
  </si>
  <si>
    <t>Excellent at 13.1x — KAPCO can comfortably service its minimal debt, though this also reflects near-zero borrowing.</t>
  </si>
  <si>
    <t>Adequate at 2.5x — HUBCO's coverage is acceptable but tighter given the PPA termination impact on EBIT in FY25.</t>
  </si>
  <si>
    <t>EFFICIENCY</t>
  </si>
  <si>
    <t>Very low asset/receivables turnover due to dramatically reduced revenue following PPA expiry — assets are idle relative to turnover.</t>
  </si>
  <si>
    <t>Moderate efficiency. Asset turnover of 0.22x and receivables turnover of 1.6x are reasonable for a capital-intensive IPP with govt-backed receivables.</t>
  </si>
  <si>
    <t>PROFITABILITY</t>
  </si>
  <si>
    <t>ROE (4.4%) and ROCE (5.7%) are low as operating scale has shrunk. Both the Operating Profit Margin (207%) and Net Margin (162%) appear highly inflated due to the near-zero revenue base — they are not genuine signals of operational profitability.</t>
  </si>
  <si>
    <t>Strong profitability. ROE 32.4%, ROCE 18.6%, and net margin 62.1% reflect HUBCO's diversified income streams, subsidiary dividends, and larger scale.</t>
  </si>
  <si>
    <t>OVERALL ASSESSMENT</t>
  </si>
  <si>
    <t>KAPCO is in a transitional/wind-down phase post-PPA expiry (FY2024-25). It is financially safe (low debt, high liquidity) but operationally inactive. Its ratios reflect asset preservation, not growth.</t>
  </si>
  <si>
    <t>HUBCO is the clear sector leader in profitability and scale. Despite a 31% net profit decline in FY25 due to its base plant PPA termination, diversified subsidiaries support strong returns. Higher leverage warrants monitoring.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</si>
</sst>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;\(#,##0\);\-"/>
    <numFmt numFmtId="165" formatCode="0.00\x;\(0.00&quot;x)&quot;;\-"/>
    <numFmt numFmtId="166" formatCode="#,##0.00;\(#,##0.00\);\-"/>
    <numFmt numFmtId="167" formatCode="0.00%;\(0.00%\);\-"/>
  </numFmts>
  <fonts count="25">
    <font>
      <sz val="10.0"/>
      <color rgb="FF000000"/>
      <name val="Arial"/>
      <scheme val="minor"/>
    </font>
    <font>
      <b/>
      <sz val="14.0"/>
      <color rgb="FFFFFFFF"/>
      <name val="Arial"/>
    </font>
    <font/>
    <font>
      <b/>
      <sz val="15.0"/>
      <color rgb="FFFFFFFF"/>
      <name val="Calibri"/>
    </font>
    <font>
      <b/>
      <sz val="15.0"/>
      <color rgb="FFFFFFFF"/>
      <name val="Arial"/>
    </font>
    <font>
      <sz val="11.0"/>
      <color rgb="FF000000"/>
      <name val="Calibri"/>
    </font>
    <font>
      <sz val="11.0"/>
      <color theme="1"/>
      <name val="Arial"/>
    </font>
    <font>
      <b/>
      <sz val="11.0"/>
      <color rgb="FF000000"/>
      <name val="Calibri"/>
    </font>
    <font>
      <b/>
      <sz val="11.0"/>
      <color rgb="FFFFFFFF"/>
      <name val="Calibri"/>
    </font>
    <font>
      <i/>
      <sz val="10.0"/>
      <color rgb="FF595959"/>
      <name val="Arial"/>
    </font>
    <font>
      <b/>
      <sz val="11.0"/>
      <color rgb="FFFFFFFF"/>
      <name val="Arial"/>
    </font>
    <font>
      <color theme="1"/>
      <name val="Arial"/>
      <scheme val="minor"/>
    </font>
    <font>
      <sz val="10.0"/>
      <color theme="1"/>
      <name val="Arial"/>
    </font>
    <font>
      <sz val="10.0"/>
      <color rgb="FF1F3864"/>
      <name val="Arial"/>
    </font>
    <font>
      <sz val="10.0"/>
      <color rgb="FF7F3C00"/>
      <name val="Arial"/>
    </font>
    <font>
      <b/>
      <sz val="10.0"/>
      <color rgb="FFC00000"/>
      <name val="Arial"/>
    </font>
    <font>
      <b/>
      <sz val="10.0"/>
      <color rgb="FF274E13"/>
      <name val="Arial"/>
    </font>
    <font>
      <sz val="10.0"/>
      <color rgb="FF000000"/>
      <name val="Arial"/>
    </font>
    <font>
      <sz val="10.0"/>
      <color rgb="FF375623"/>
      <name val="Arial"/>
    </font>
    <font>
      <color rgb="FFFFFFFF"/>
      <name val="Arial"/>
      <scheme val="minor"/>
    </font>
    <font>
      <b/>
      <sz val="10.0"/>
      <color rgb="FF375623"/>
      <name val="Arial"/>
    </font>
    <font>
      <b/>
      <sz val="10.0"/>
      <color rgb="FFFFFFFF"/>
      <name val="Arial"/>
    </font>
    <font>
      <sz val="9.0"/>
      <color rgb="FF1F3864"/>
      <name val="Arial"/>
    </font>
    <font>
      <sz val="9.0"/>
      <color rgb="FF7F3C00"/>
      <name val="Arial"/>
    </font>
    <font>
      <i/>
      <sz val="8.0"/>
      <color rgb="FF7F7F7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375623"/>
        <bgColor rgb="FF375623"/>
      </patternFill>
    </fill>
    <fill>
      <patternFill patternType="solid">
        <fgColor rgb="FF833C00"/>
        <bgColor rgb="FF833C00"/>
      </patternFill>
    </fill>
    <fill>
      <patternFill patternType="solid">
        <fgColor rgb="FFF2F2F2"/>
        <bgColor rgb="FFF2F2F2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shrinkToFit="0" vertical="bottom" wrapText="0"/>
    </xf>
    <xf borderId="4" fillId="2" fontId="4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3" xfId="0" applyAlignment="1" applyFont="1" applyNumberForma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3" xfId="0" applyAlignment="1" applyFont="1" applyNumberFormat="1">
      <alignment readingOrder="0" shrinkToFit="0" vertical="bottom" wrapText="0"/>
    </xf>
    <xf borderId="4" fillId="3" fontId="5" numFmtId="0" xfId="0" applyAlignment="1" applyBorder="1" applyFill="1" applyFont="1">
      <alignment shrinkToFit="0" vertical="bottom" wrapText="0"/>
    </xf>
    <xf borderId="4" fillId="3" fontId="7" numFmtId="0" xfId="0" applyAlignment="1" applyBorder="1" applyFont="1">
      <alignment shrinkToFit="0" vertical="bottom" wrapText="0"/>
    </xf>
    <xf borderId="4" fillId="2" fontId="8" numFmtId="0" xfId="0" applyAlignment="1" applyBorder="1" applyFont="1">
      <alignment shrinkToFit="0" vertical="bottom" wrapText="0"/>
    </xf>
    <xf borderId="0" fillId="0" fontId="6" numFmtId="2" xfId="0" applyAlignment="1" applyFont="1" applyNumberFormat="1">
      <alignment shrinkToFit="0" vertical="bottom" wrapText="0"/>
    </xf>
    <xf borderId="0" fillId="0" fontId="6" numFmtId="10" xfId="0" applyAlignment="1" applyFont="1" applyNumberFormat="1">
      <alignment shrinkToFit="0" vertical="bottom" wrapText="0"/>
    </xf>
    <xf borderId="1" fillId="2" fontId="1" numFmtId="0" xfId="0" applyAlignment="1" applyBorder="1" applyFont="1">
      <alignment horizontal="center" shrinkToFit="0" vertical="center" wrapText="0"/>
    </xf>
    <xf borderId="0" fillId="0" fontId="9" numFmtId="0" xfId="0" applyAlignment="1" applyFont="1">
      <alignment horizontal="center" shrinkToFit="0" vertical="center" wrapText="0"/>
    </xf>
    <xf borderId="5" fillId="2" fontId="10" numFmtId="0" xfId="0" applyAlignment="1" applyBorder="1" applyFont="1">
      <alignment horizontal="center" shrinkToFit="0" vertical="center" wrapText="1"/>
    </xf>
    <xf borderId="5" fillId="4" fontId="10" numFmtId="0" xfId="0" applyAlignment="1" applyBorder="1" applyFill="1" applyFont="1">
      <alignment horizontal="center" shrinkToFit="0" vertical="center" wrapText="1"/>
    </xf>
    <xf borderId="5" fillId="5" fontId="10" numFmtId="0" xfId="0" applyAlignment="1" applyBorder="1" applyFill="1" applyFont="1">
      <alignment horizontal="center" shrinkToFit="0" vertical="center" wrapText="1"/>
    </xf>
    <xf borderId="0" fillId="2" fontId="11" numFmtId="0" xfId="0" applyFont="1"/>
    <xf borderId="6" fillId="2" fontId="10" numFmtId="0" xfId="0" applyAlignment="1" applyBorder="1" applyFont="1">
      <alignment horizontal="left" readingOrder="0" shrinkToFit="0" vertical="center" wrapText="0"/>
    </xf>
    <xf borderId="7" fillId="0" fontId="2" numFmtId="0" xfId="0" applyBorder="1" applyFont="1"/>
    <xf borderId="8" fillId="0" fontId="2" numFmtId="0" xfId="0" applyBorder="1" applyFont="1"/>
    <xf borderId="5" fillId="6" fontId="12" numFmtId="0" xfId="0" applyAlignment="1" applyBorder="1" applyFill="1" applyFont="1">
      <alignment horizontal="left" shrinkToFit="0" vertical="center" wrapText="0"/>
    </xf>
    <xf borderId="5" fillId="6" fontId="13" numFmtId="164" xfId="0" applyAlignment="1" applyBorder="1" applyFont="1" applyNumberFormat="1">
      <alignment horizontal="center" shrinkToFit="0" vertical="center" wrapText="0"/>
    </xf>
    <xf borderId="5" fillId="6" fontId="14" numFmtId="164" xfId="0" applyAlignment="1" applyBorder="1" applyFont="1" applyNumberFormat="1">
      <alignment horizontal="center" shrinkToFit="0" vertical="center" wrapText="0"/>
    </xf>
    <xf borderId="5" fillId="6" fontId="15" numFmtId="164" xfId="0" applyAlignment="1" applyBorder="1" applyFont="1" applyNumberFormat="1">
      <alignment horizontal="center" shrinkToFit="0" vertical="center" wrapText="0"/>
    </xf>
    <xf borderId="5" fillId="3" fontId="12" numFmtId="0" xfId="0" applyAlignment="1" applyBorder="1" applyFont="1">
      <alignment horizontal="left" shrinkToFit="0" vertical="center" wrapText="0"/>
    </xf>
    <xf borderId="5" fillId="3" fontId="13" numFmtId="164" xfId="0" applyAlignment="1" applyBorder="1" applyFont="1" applyNumberFormat="1">
      <alignment horizontal="center" readingOrder="0" shrinkToFit="0" vertical="center" wrapText="0"/>
    </xf>
    <xf borderId="5" fillId="3" fontId="14" numFmtId="164" xfId="0" applyAlignment="1" applyBorder="1" applyFont="1" applyNumberFormat="1">
      <alignment horizontal="center" shrinkToFit="0" vertical="center" wrapText="0"/>
    </xf>
    <xf borderId="0" fillId="3" fontId="11" numFmtId="0" xfId="0" applyFont="1"/>
    <xf borderId="5" fillId="3" fontId="13" numFmtId="164" xfId="0" applyAlignment="1" applyBorder="1" applyFont="1" applyNumberFormat="1">
      <alignment horizontal="center" shrinkToFit="0" vertical="center" wrapText="0"/>
    </xf>
    <xf borderId="5" fillId="6" fontId="16" numFmtId="164" xfId="0" applyAlignment="1" applyBorder="1" applyFont="1" applyNumberFormat="1">
      <alignment horizontal="center" shrinkToFit="0" vertical="center" wrapText="0"/>
    </xf>
    <xf borderId="5" fillId="6" fontId="17" numFmtId="0" xfId="0" applyAlignment="1" applyBorder="1" applyFont="1">
      <alignment horizontal="left" shrinkToFit="0" vertical="center" wrapText="0"/>
    </xf>
    <xf borderId="5" fillId="6" fontId="13" numFmtId="165" xfId="0" applyAlignment="1" applyBorder="1" applyFont="1" applyNumberFormat="1">
      <alignment horizontal="center" readingOrder="0" shrinkToFit="0" vertical="center" wrapText="0"/>
    </xf>
    <xf borderId="5" fillId="6" fontId="18" numFmtId="165" xfId="0" applyAlignment="1" applyBorder="1" applyFont="1" applyNumberFormat="1">
      <alignment horizontal="center" shrinkToFit="0" vertical="center" wrapText="0"/>
    </xf>
    <xf borderId="5" fillId="3" fontId="17" numFmtId="0" xfId="0" applyAlignment="1" applyBorder="1" applyFont="1">
      <alignment horizontal="left" shrinkToFit="0" vertical="center" wrapText="0"/>
    </xf>
    <xf borderId="5" fillId="3" fontId="18" numFmtId="165" xfId="0" applyAlignment="1" applyBorder="1" applyFont="1" applyNumberFormat="1">
      <alignment horizontal="center" shrinkToFit="0" vertical="center" wrapText="0"/>
    </xf>
    <xf borderId="5" fillId="6" fontId="13" numFmtId="166" xfId="0" applyAlignment="1" applyBorder="1" applyFont="1" applyNumberFormat="1">
      <alignment horizontal="center" shrinkToFit="0" vertical="center" wrapText="0"/>
    </xf>
    <xf borderId="5" fillId="6" fontId="14" numFmtId="166" xfId="0" applyAlignment="1" applyBorder="1" applyFont="1" applyNumberFormat="1">
      <alignment horizontal="center" shrinkToFit="0" vertical="center" wrapText="0"/>
    </xf>
    <xf borderId="5" fillId="6" fontId="15" numFmtId="166" xfId="0" applyAlignment="1" applyBorder="1" applyFont="1" applyNumberFormat="1">
      <alignment horizontal="center" shrinkToFit="0" vertical="center" wrapText="0"/>
    </xf>
    <xf borderId="5" fillId="3" fontId="13" numFmtId="166" xfId="0" applyAlignment="1" applyBorder="1" applyFont="1" applyNumberFormat="1">
      <alignment horizontal="center" shrinkToFit="0" vertical="center" wrapText="0"/>
    </xf>
    <xf borderId="5" fillId="3" fontId="14" numFmtId="166" xfId="0" applyAlignment="1" applyBorder="1" applyFont="1" applyNumberFormat="1">
      <alignment horizontal="center" shrinkToFit="0" vertical="center" wrapText="0"/>
    </xf>
    <xf borderId="5" fillId="3" fontId="15" numFmtId="166" xfId="0" applyAlignment="1" applyBorder="1" applyFont="1" applyNumberFormat="1">
      <alignment horizontal="center" shrinkToFit="0" vertical="center" wrapText="0"/>
    </xf>
    <xf borderId="5" fillId="6" fontId="12" numFmtId="0" xfId="0" applyAlignment="1" applyBorder="1" applyFont="1">
      <alignment horizontal="left" readingOrder="0" shrinkToFit="0" vertical="center" wrapText="0"/>
    </xf>
    <xf borderId="5" fillId="6" fontId="13" numFmtId="167" xfId="0" applyAlignment="1" applyBorder="1" applyFont="1" applyNumberFormat="1">
      <alignment horizontal="center" shrinkToFit="0" vertical="center" wrapText="0"/>
    </xf>
    <xf borderId="5" fillId="6" fontId="14" numFmtId="167" xfId="0" applyAlignment="1" applyBorder="1" applyFont="1" applyNumberFormat="1">
      <alignment horizontal="center" shrinkToFit="0" vertical="center" wrapText="0"/>
    </xf>
    <xf borderId="5" fillId="6" fontId="15" numFmtId="167" xfId="0" applyAlignment="1" applyBorder="1" applyFont="1" applyNumberFormat="1">
      <alignment horizontal="center" shrinkToFit="0" vertical="center" wrapText="0"/>
    </xf>
    <xf borderId="5" fillId="3" fontId="12" numFmtId="0" xfId="0" applyAlignment="1" applyBorder="1" applyFont="1">
      <alignment horizontal="left" readingOrder="0" shrinkToFit="0" vertical="center" wrapText="0"/>
    </xf>
    <xf borderId="0" fillId="3" fontId="19" numFmtId="0" xfId="0" applyFont="1"/>
    <xf borderId="5" fillId="3" fontId="20" numFmtId="166" xfId="0" applyAlignment="1" applyBorder="1" applyFont="1" applyNumberFormat="1">
      <alignment horizontal="center" shrinkToFit="0" vertical="center" wrapText="0"/>
    </xf>
    <xf borderId="5" fillId="3" fontId="13" numFmtId="167" xfId="0" applyAlignment="1" applyBorder="1" applyFont="1" applyNumberFormat="1">
      <alignment horizontal="center" shrinkToFit="0" vertical="center" wrapText="0"/>
    </xf>
    <xf borderId="5" fillId="6" fontId="16" numFmtId="167" xfId="0" applyAlignment="1" applyBorder="1" applyFont="1" applyNumberFormat="1">
      <alignment horizontal="center" shrinkToFit="0" vertical="center" wrapText="0"/>
    </xf>
    <xf borderId="5" fillId="3" fontId="14" numFmtId="167" xfId="0" applyAlignment="1" applyBorder="1" applyFont="1" applyNumberFormat="1">
      <alignment horizontal="center" shrinkToFit="0" vertical="center" wrapText="0"/>
    </xf>
    <xf borderId="5" fillId="2" fontId="21" numFmtId="0" xfId="0" applyAlignment="1" applyBorder="1" applyFont="1">
      <alignment horizontal="left" shrinkToFit="0" vertical="top" wrapText="1"/>
    </xf>
    <xf borderId="5" fillId="3" fontId="22" numFmtId="0" xfId="0" applyAlignment="1" applyBorder="1" applyFont="1">
      <alignment horizontal="left" shrinkToFit="0" vertical="top" wrapText="1"/>
    </xf>
    <xf borderId="5" fillId="3" fontId="23" numFmtId="0" xfId="0" applyAlignment="1" applyBorder="1" applyFont="1">
      <alignment horizontal="left" shrinkToFit="0" vertical="top" wrapText="1"/>
    </xf>
    <xf borderId="5" fillId="0" fontId="17" numFmtId="0" xfId="0" applyAlignment="1" applyBorder="1" applyFont="1">
      <alignment horizontal="center" shrinkToFit="0" vertical="top" wrapText="0"/>
    </xf>
    <xf borderId="5" fillId="3" fontId="22" numFmtId="0" xfId="0" applyAlignment="1" applyBorder="1" applyFont="1">
      <alignment horizontal="left" readingOrder="0" shrinkToFit="0" vertical="top" wrapText="1"/>
    </xf>
    <xf borderId="0" fillId="0" fontId="24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2.25"/>
    <col customWidth="1" min="2" max="2" width="13.25"/>
    <col customWidth="1" min="3" max="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/>
    <row r="3" ht="15.75" customHeight="1">
      <c r="A3" s="4" t="s">
        <v>1</v>
      </c>
      <c r="B3" s="5">
        <v>2021.0</v>
      </c>
      <c r="C3" s="5">
        <v>2022.0</v>
      </c>
      <c r="D3" s="5">
        <v>2023.0</v>
      </c>
      <c r="E3" s="5">
        <v>2024.0</v>
      </c>
      <c r="F3" s="5">
        <v>2025.0</v>
      </c>
    </row>
    <row r="4" ht="15.75" customHeight="1">
      <c r="A4" s="6" t="s">
        <v>2</v>
      </c>
      <c r="B4" s="7">
        <v>50349.0</v>
      </c>
      <c r="C4" s="7">
        <v>136599.62</v>
      </c>
      <c r="D4" s="7">
        <v>25435.31</v>
      </c>
      <c r="E4" s="8">
        <v>0.0</v>
      </c>
      <c r="F4" s="7">
        <v>1563.32</v>
      </c>
    </row>
    <row r="5" ht="15.75" customHeight="1">
      <c r="A5" s="6" t="s">
        <v>3</v>
      </c>
      <c r="B5" s="7">
        <v>5251.0</v>
      </c>
      <c r="C5" s="7">
        <v>8532.11</v>
      </c>
      <c r="D5" s="9">
        <v>-568.85</v>
      </c>
      <c r="E5" s="8">
        <v>0.0</v>
      </c>
      <c r="F5" s="9">
        <v>-438.16</v>
      </c>
    </row>
    <row r="6" ht="15.75" customHeight="1">
      <c r="A6" s="6" t="s">
        <v>4</v>
      </c>
      <c r="B6" s="7">
        <v>17519.0</v>
      </c>
      <c r="C6" s="7">
        <v>19896.72</v>
      </c>
      <c r="D6" s="7">
        <v>13072.21</v>
      </c>
      <c r="E6" s="7">
        <v>9318.96</v>
      </c>
      <c r="F6" s="7">
        <v>3243.49</v>
      </c>
    </row>
    <row r="7" ht="15.75" customHeight="1">
      <c r="A7" s="6" t="s">
        <v>5</v>
      </c>
      <c r="B7" s="7">
        <v>3108.0</v>
      </c>
      <c r="C7" s="7">
        <v>4373.11</v>
      </c>
      <c r="D7" s="7">
        <v>6252.9</v>
      </c>
      <c r="E7" s="7">
        <v>3779.77</v>
      </c>
      <c r="F7" s="7">
        <v>248.36</v>
      </c>
    </row>
    <row r="8" ht="15.75" customHeight="1">
      <c r="A8" s="6" t="s">
        <v>6</v>
      </c>
      <c r="B8" s="7">
        <v>10229.0</v>
      </c>
      <c r="C8" s="7">
        <v>9893.62</v>
      </c>
      <c r="D8" s="7">
        <v>3958.76</v>
      </c>
      <c r="E8" s="7">
        <v>4313.62</v>
      </c>
      <c r="F8" s="7">
        <v>2536.07</v>
      </c>
    </row>
    <row r="9" ht="15.75" customHeight="1">
      <c r="A9" s="6" t="s">
        <v>7</v>
      </c>
      <c r="B9" s="7">
        <v>148712.68</v>
      </c>
      <c r="C9" s="7">
        <v>133776.98</v>
      </c>
      <c r="D9" s="7">
        <v>98895.65</v>
      </c>
      <c r="E9" s="7">
        <v>79333.89</v>
      </c>
      <c r="F9" s="7">
        <v>61565.63</v>
      </c>
    </row>
    <row r="10" ht="15.75" customHeight="1">
      <c r="A10" s="6" t="s">
        <v>8</v>
      </c>
      <c r="B10" s="7">
        <v>73169.69</v>
      </c>
      <c r="C10" s="7">
        <v>66283.27</v>
      </c>
      <c r="D10" s="7">
        <v>32824.8</v>
      </c>
      <c r="E10" s="7">
        <v>18164.28</v>
      </c>
      <c r="F10" s="7">
        <v>7865.64</v>
      </c>
    </row>
    <row r="11" ht="15.75" customHeight="1">
      <c r="A11" s="6" t="s">
        <v>9</v>
      </c>
      <c r="B11" s="7">
        <v>152233.6</v>
      </c>
      <c r="C11" s="7">
        <v>136761.36</v>
      </c>
      <c r="D11" s="7">
        <v>101848.16</v>
      </c>
      <c r="E11" s="7">
        <v>81551.25</v>
      </c>
      <c r="F11" s="7">
        <v>65253.38</v>
      </c>
    </row>
    <row r="12" ht="15.75" customHeight="1">
      <c r="A12" s="6" t="s">
        <v>10</v>
      </c>
      <c r="B12" s="7">
        <v>65223.61</v>
      </c>
      <c r="C12" s="7">
        <v>68595.91</v>
      </c>
      <c r="D12" s="7">
        <v>66083.73</v>
      </c>
      <c r="E12" s="7">
        <v>61961.43</v>
      </c>
      <c r="F12" s="7">
        <v>57098.09</v>
      </c>
    </row>
    <row r="13" ht="15.75" customHeight="1">
      <c r="A13" s="6" t="s">
        <v>11</v>
      </c>
      <c r="B13" s="7">
        <v>9103.0</v>
      </c>
      <c r="C13" s="7">
        <v>9934.02</v>
      </c>
      <c r="D13" s="7">
        <v>15492.95</v>
      </c>
      <c r="E13" s="7">
        <v>13790.17</v>
      </c>
      <c r="F13" s="7">
        <v>11651.75</v>
      </c>
    </row>
    <row r="14" ht="15.75" customHeight="1">
      <c r="A14" s="6" t="s">
        <v>12</v>
      </c>
      <c r="B14" s="7">
        <v>104622.0</v>
      </c>
      <c r="C14" s="7">
        <v>62154.48</v>
      </c>
      <c r="D14" s="7">
        <v>26611.39</v>
      </c>
      <c r="E14" s="7">
        <v>10866.07</v>
      </c>
      <c r="F14" s="7">
        <v>1881.58</v>
      </c>
    </row>
    <row r="15" ht="15.75" customHeight="1">
      <c r="A15" s="10" t="s">
        <v>13</v>
      </c>
      <c r="B15" s="7">
        <f t="shared" ref="B15:F15" si="1">B4-B5</f>
        <v>45098</v>
      </c>
      <c r="C15" s="7">
        <f t="shared" si="1"/>
        <v>128067.51</v>
      </c>
      <c r="D15" s="7">
        <f t="shared" si="1"/>
        <v>26004.16</v>
      </c>
      <c r="E15" s="8">
        <f t="shared" si="1"/>
        <v>0</v>
      </c>
      <c r="F15" s="7">
        <f t="shared" si="1"/>
        <v>2001.48</v>
      </c>
    </row>
    <row r="16" ht="15.75" customHeight="1">
      <c r="A16" s="10" t="s">
        <v>14</v>
      </c>
      <c r="B16" s="7">
        <f t="shared" ref="B16:F16" si="2">B11-B12</f>
        <v>87009.99</v>
      </c>
      <c r="C16" s="7">
        <f t="shared" si="2"/>
        <v>68165.45</v>
      </c>
      <c r="D16" s="7">
        <f t="shared" si="2"/>
        <v>35764.43</v>
      </c>
      <c r="E16" s="7">
        <f t="shared" si="2"/>
        <v>19589.82</v>
      </c>
      <c r="F16" s="7">
        <f t="shared" si="2"/>
        <v>8155.29</v>
      </c>
    </row>
    <row r="17" ht="15.75" customHeight="1">
      <c r="A17" s="10" t="s">
        <v>15</v>
      </c>
      <c r="B17" s="7">
        <f t="shared" ref="B17:F17" si="3">B11-B10</f>
        <v>79063.91</v>
      </c>
      <c r="C17" s="7">
        <f t="shared" si="3"/>
        <v>70478.09</v>
      </c>
      <c r="D17" s="7">
        <f t="shared" si="3"/>
        <v>69023.36</v>
      </c>
      <c r="E17" s="7">
        <f t="shared" si="3"/>
        <v>63386.97</v>
      </c>
      <c r="F17" s="7">
        <f t="shared" si="3"/>
        <v>57387.74</v>
      </c>
    </row>
    <row r="18" ht="15.75" customHeight="1">
      <c r="A18" s="11"/>
    </row>
    <row r="19" ht="15.75" customHeight="1">
      <c r="A19" s="11"/>
    </row>
    <row r="20" ht="15.75" customHeight="1">
      <c r="A20" s="12" t="s">
        <v>16</v>
      </c>
    </row>
    <row r="21" ht="15.75" customHeight="1">
      <c r="A21" s="12" t="s">
        <v>17</v>
      </c>
    </row>
    <row r="22" ht="15.75" customHeight="1">
      <c r="A22" s="6" t="s">
        <v>18</v>
      </c>
      <c r="B22" s="13">
        <f t="shared" ref="B22:F22" si="4">B9/B10</f>
        <v>2.032435562</v>
      </c>
      <c r="C22" s="13">
        <f t="shared" si="4"/>
        <v>2.018261622</v>
      </c>
      <c r="D22" s="13">
        <f t="shared" si="4"/>
        <v>3.012833285</v>
      </c>
      <c r="E22" s="13">
        <f t="shared" si="4"/>
        <v>4.367576915</v>
      </c>
      <c r="F22" s="13">
        <f t="shared" si="4"/>
        <v>7.827160918</v>
      </c>
    </row>
    <row r="23" ht="15.75" customHeight="1">
      <c r="A23" s="6" t="s">
        <v>19</v>
      </c>
      <c r="B23" s="13">
        <f t="shared" ref="B23:F23" si="5">(B9-B13)/B10</f>
        <v>1.908026124</v>
      </c>
      <c r="C23" s="13">
        <f t="shared" si="5"/>
        <v>1.868389414</v>
      </c>
      <c r="D23" s="13">
        <f t="shared" si="5"/>
        <v>2.540844118</v>
      </c>
      <c r="E23" s="13">
        <f t="shared" si="5"/>
        <v>3.608385248</v>
      </c>
      <c r="F23" s="13">
        <f t="shared" si="5"/>
        <v>6.345812928</v>
      </c>
    </row>
    <row r="24" ht="15.75" customHeight="1"/>
    <row r="25" ht="15.75" customHeight="1">
      <c r="A25" s="12" t="s">
        <v>20</v>
      </c>
    </row>
    <row r="26" ht="15.75" customHeight="1">
      <c r="A26" s="6" t="s">
        <v>21</v>
      </c>
      <c r="B26" s="13">
        <f>(B4-B5)/B13</f>
        <v>4.954190926</v>
      </c>
      <c r="C26" s="13">
        <f t="shared" ref="C26:F26" si="6">(C4-C5)/((C13+B13)/2)</f>
        <v>13.45457535</v>
      </c>
      <c r="D26" s="13">
        <f t="shared" si="6"/>
        <v>2.045399825</v>
      </c>
      <c r="E26" s="13">
        <f t="shared" si="6"/>
        <v>0</v>
      </c>
      <c r="F26" s="13">
        <f t="shared" si="6"/>
        <v>0.1573371821</v>
      </c>
    </row>
    <row r="27" ht="15.75" customHeight="1">
      <c r="A27" s="6" t="s">
        <v>22</v>
      </c>
      <c r="B27" s="13">
        <f>B4/B14</f>
        <v>0.4812467741</v>
      </c>
      <c r="C27" s="13">
        <f t="shared" ref="C27:F27" si="7">C4/((C14+B14)/2)</f>
        <v>1.638116118</v>
      </c>
      <c r="D27" s="13">
        <f t="shared" si="7"/>
        <v>0.5730876068</v>
      </c>
      <c r="E27" s="13">
        <f t="shared" si="7"/>
        <v>0</v>
      </c>
      <c r="F27" s="13">
        <f t="shared" si="7"/>
        <v>0.2452718736</v>
      </c>
    </row>
    <row r="28" ht="15.75" customHeight="1">
      <c r="A28" s="6" t="s">
        <v>23</v>
      </c>
      <c r="B28" s="13">
        <f>B4/B11</f>
        <v>0.3307351334</v>
      </c>
      <c r="C28" s="13">
        <f t="shared" ref="C28:F28" si="8">C4/((C11+B11)/2)</f>
        <v>0.9453425762</v>
      </c>
      <c r="D28" s="13">
        <f t="shared" si="8"/>
        <v>0.2131961038</v>
      </c>
      <c r="E28" s="13">
        <f t="shared" si="8"/>
        <v>0</v>
      </c>
      <c r="F28" s="13">
        <f t="shared" si="8"/>
        <v>0.02129796587</v>
      </c>
    </row>
    <row r="29" ht="15.75" customHeight="1"/>
    <row r="30" ht="15.75" customHeight="1">
      <c r="A30" s="12" t="s">
        <v>24</v>
      </c>
    </row>
    <row r="31" ht="15.75" customHeight="1">
      <c r="A31" s="6" t="s">
        <v>25</v>
      </c>
      <c r="B31" s="13">
        <f t="shared" ref="B31:F31" si="9">(B11-B12)/B11</f>
        <v>0.5715557538</v>
      </c>
      <c r="C31" s="13">
        <f t="shared" si="9"/>
        <v>0.4984262368</v>
      </c>
      <c r="D31" s="13">
        <f t="shared" si="9"/>
        <v>0.3511544048</v>
      </c>
      <c r="E31" s="13">
        <f t="shared" si="9"/>
        <v>0.2402148342</v>
      </c>
      <c r="F31" s="13">
        <f t="shared" si="9"/>
        <v>0.1249788134</v>
      </c>
    </row>
    <row r="32" ht="15.75" customHeight="1">
      <c r="A32" s="6" t="s">
        <v>26</v>
      </c>
      <c r="B32" s="13">
        <f t="shared" ref="B32:F32" si="10">(B11-B12)/B12</f>
        <v>1.334025976</v>
      </c>
      <c r="C32" s="13">
        <f t="shared" si="10"/>
        <v>0.9937246987</v>
      </c>
      <c r="D32" s="13">
        <f t="shared" si="10"/>
        <v>0.5411987187</v>
      </c>
      <c r="E32" s="13">
        <f t="shared" si="10"/>
        <v>0.3161615218</v>
      </c>
      <c r="F32" s="13">
        <f t="shared" si="10"/>
        <v>0.1428294712</v>
      </c>
    </row>
    <row r="33" ht="15.75" customHeight="1"/>
    <row r="34" ht="15.75" customHeight="1">
      <c r="A34" s="12" t="s">
        <v>27</v>
      </c>
    </row>
    <row r="35" ht="15.75" customHeight="1">
      <c r="A35" s="6" t="s">
        <v>28</v>
      </c>
      <c r="B35" s="13">
        <f t="shared" ref="B35:F35" si="11">B6/B7</f>
        <v>5.636743887</v>
      </c>
      <c r="C35" s="13">
        <f t="shared" si="11"/>
        <v>4.549787222</v>
      </c>
      <c r="D35" s="13">
        <f t="shared" si="11"/>
        <v>2.090583569</v>
      </c>
      <c r="E35" s="13">
        <f t="shared" si="11"/>
        <v>2.46548335</v>
      </c>
      <c r="F35" s="13">
        <f t="shared" si="11"/>
        <v>13.05963118</v>
      </c>
    </row>
    <row r="36" ht="15.75" customHeight="1"/>
    <row r="37" ht="15.75" customHeight="1">
      <c r="A37" s="12" t="s">
        <v>29</v>
      </c>
    </row>
    <row r="38" ht="15.75" customHeight="1">
      <c r="A38" s="6" t="s">
        <v>30</v>
      </c>
      <c r="B38" s="14">
        <f t="shared" ref="B38:F38" si="12">(B5/B4)</f>
        <v>0.1042920415</v>
      </c>
      <c r="C38" s="14">
        <f t="shared" si="12"/>
        <v>0.06246071548</v>
      </c>
      <c r="D38" s="14">
        <f t="shared" si="12"/>
        <v>-0.022364579</v>
      </c>
      <c r="E38" s="14" t="str">
        <f t="shared" si="12"/>
        <v>#DIV/0!</v>
      </c>
      <c r="F38" s="14">
        <f t="shared" si="12"/>
        <v>-0.2802753115</v>
      </c>
    </row>
    <row r="39" ht="15.75" customHeight="1">
      <c r="A39" s="6" t="s">
        <v>31</v>
      </c>
      <c r="B39" s="14">
        <f t="shared" ref="B39:F39" si="13">(B8/B4)</f>
        <v>0.2031619297</v>
      </c>
      <c r="C39" s="14">
        <f t="shared" si="13"/>
        <v>0.07242787352</v>
      </c>
      <c r="D39" s="14">
        <f t="shared" si="13"/>
        <v>0.1556403283</v>
      </c>
      <c r="E39" s="14" t="str">
        <f t="shared" si="13"/>
        <v>#DIV/0!</v>
      </c>
      <c r="F39" s="14">
        <f t="shared" si="13"/>
        <v>1.622233452</v>
      </c>
    </row>
    <row r="40" ht="15.75" customHeight="1">
      <c r="A40" s="6" t="s">
        <v>32</v>
      </c>
      <c r="B40" s="14">
        <f t="shared" ref="B40:F40" si="14">B8/B11</f>
        <v>0.06719278793</v>
      </c>
      <c r="C40" s="14">
        <f t="shared" si="14"/>
        <v>0.07234221713</v>
      </c>
      <c r="D40" s="14">
        <f t="shared" si="14"/>
        <v>0.03886923436</v>
      </c>
      <c r="E40" s="14">
        <f t="shared" si="14"/>
        <v>0.05289459082</v>
      </c>
      <c r="F40" s="14">
        <f t="shared" si="14"/>
        <v>0.03886495995</v>
      </c>
    </row>
    <row r="41" ht="15.75" customHeight="1">
      <c r="A41" s="6" t="s">
        <v>33</v>
      </c>
      <c r="B41" s="14">
        <f t="shared" ref="B41:F41" si="15">B8/B12</f>
        <v>0.1568297124</v>
      </c>
      <c r="C41" s="14">
        <f t="shared" si="15"/>
        <v>0.1442304651</v>
      </c>
      <c r="D41" s="14">
        <f t="shared" si="15"/>
        <v>0.05990521419</v>
      </c>
      <c r="E41" s="14">
        <f t="shared" si="15"/>
        <v>0.06961782515</v>
      </c>
      <c r="F41" s="14">
        <f t="shared" si="15"/>
        <v>0.04441602162</v>
      </c>
    </row>
    <row r="42" ht="15.75" customHeight="1">
      <c r="A42" s="8" t="s">
        <v>34</v>
      </c>
      <c r="B42" s="14">
        <f t="shared" ref="B42:F42" si="16">B6/B17</f>
        <v>0.2215802381</v>
      </c>
      <c r="C42" s="14">
        <f t="shared" si="16"/>
        <v>0.2823107153</v>
      </c>
      <c r="D42" s="14">
        <f t="shared" si="16"/>
        <v>0.1893882013</v>
      </c>
      <c r="E42" s="14">
        <f t="shared" si="16"/>
        <v>0.1470169658</v>
      </c>
      <c r="F42" s="14">
        <f t="shared" si="16"/>
        <v>0.05651886622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0"/>
    <col customWidth="1" min="2" max="4" width="22.0"/>
    <col customWidth="1" min="5" max="26" width="8.63"/>
  </cols>
  <sheetData>
    <row r="1" ht="30.0" customHeight="1">
      <c r="A1" s="15" t="s">
        <v>35</v>
      </c>
      <c r="B1" s="2"/>
      <c r="C1" s="2"/>
      <c r="D1" s="3"/>
    </row>
    <row r="2">
      <c r="A2" s="16" t="s">
        <v>36</v>
      </c>
    </row>
    <row r="4" ht="39.75" customHeight="1">
      <c r="A4" s="17" t="s">
        <v>37</v>
      </c>
      <c r="B4" s="18" t="s">
        <v>38</v>
      </c>
      <c r="C4" s="19" t="s">
        <v>39</v>
      </c>
      <c r="D4" s="17" t="s">
        <v>40</v>
      </c>
      <c r="H4" s="20"/>
    </row>
    <row r="5" ht="21.75" customHeight="1">
      <c r="A5" s="21" t="s">
        <v>41</v>
      </c>
      <c r="B5" s="22"/>
      <c r="C5" s="22"/>
      <c r="D5" s="23"/>
    </row>
    <row r="6">
      <c r="A6" s="24" t="s">
        <v>42</v>
      </c>
      <c r="B6" s="25">
        <v>1563.32</v>
      </c>
      <c r="C6" s="26">
        <v>83350.0</v>
      </c>
      <c r="D6" s="27">
        <f t="shared" ref="D6:D19" si="1">B6-C6</f>
        <v>-81786.68</v>
      </c>
    </row>
    <row r="7">
      <c r="A7" s="28" t="s">
        <v>3</v>
      </c>
      <c r="B7" s="29">
        <v>-438.16</v>
      </c>
      <c r="C7" s="30">
        <v>47940.0</v>
      </c>
      <c r="D7" s="27">
        <f t="shared" si="1"/>
        <v>-48378.16</v>
      </c>
      <c r="F7" s="31"/>
    </row>
    <row r="8">
      <c r="A8" s="24" t="s">
        <v>4</v>
      </c>
      <c r="B8" s="25">
        <v>3243.49</v>
      </c>
      <c r="C8" s="26">
        <v>38040.0</v>
      </c>
      <c r="D8" s="27">
        <f t="shared" si="1"/>
        <v>-34796.51</v>
      </c>
    </row>
    <row r="9">
      <c r="A9" s="28" t="s">
        <v>5</v>
      </c>
      <c r="B9" s="32">
        <v>248.36</v>
      </c>
      <c r="C9" s="30">
        <v>15230.0</v>
      </c>
      <c r="D9" s="27">
        <f t="shared" si="1"/>
        <v>-14981.64</v>
      </c>
    </row>
    <row r="10">
      <c r="A10" s="24" t="s">
        <v>6</v>
      </c>
      <c r="B10" s="25">
        <v>2536.07</v>
      </c>
      <c r="C10" s="26">
        <v>51770.0</v>
      </c>
      <c r="D10" s="27">
        <f t="shared" si="1"/>
        <v>-49233.93</v>
      </c>
    </row>
    <row r="11">
      <c r="A11" s="28" t="s">
        <v>7</v>
      </c>
      <c r="B11" s="32">
        <v>61565.63</v>
      </c>
      <c r="C11" s="30">
        <v>72000.0</v>
      </c>
      <c r="D11" s="27">
        <f t="shared" si="1"/>
        <v>-10434.37</v>
      </c>
    </row>
    <row r="12">
      <c r="A12" s="24" t="s">
        <v>8</v>
      </c>
      <c r="B12" s="25">
        <v>7865.64</v>
      </c>
      <c r="C12" s="26">
        <v>55000.0</v>
      </c>
      <c r="D12" s="27">
        <f t="shared" si="1"/>
        <v>-47134.36</v>
      </c>
    </row>
    <row r="13">
      <c r="A13" s="28" t="s">
        <v>9</v>
      </c>
      <c r="B13" s="32">
        <v>65253.38</v>
      </c>
      <c r="C13" s="30">
        <v>380000.0</v>
      </c>
      <c r="D13" s="27">
        <f t="shared" si="1"/>
        <v>-314746.62</v>
      </c>
    </row>
    <row r="14">
      <c r="A14" s="24" t="s">
        <v>10</v>
      </c>
      <c r="B14" s="25">
        <v>57098.09</v>
      </c>
      <c r="C14" s="26">
        <v>160000.0</v>
      </c>
      <c r="D14" s="27">
        <f t="shared" si="1"/>
        <v>-102901.91</v>
      </c>
    </row>
    <row r="15">
      <c r="A15" s="28" t="s">
        <v>14</v>
      </c>
      <c r="B15" s="32">
        <v>8155.29</v>
      </c>
      <c r="C15" s="30">
        <v>220000.0</v>
      </c>
      <c r="D15" s="27">
        <f t="shared" si="1"/>
        <v>-211844.71</v>
      </c>
    </row>
    <row r="16">
      <c r="A16" s="24" t="s">
        <v>11</v>
      </c>
      <c r="B16" s="25">
        <v>11651.75</v>
      </c>
      <c r="C16" s="26">
        <v>8500.0</v>
      </c>
      <c r="D16" s="33">
        <f t="shared" si="1"/>
        <v>3151.75</v>
      </c>
    </row>
    <row r="17">
      <c r="A17" s="28" t="s">
        <v>43</v>
      </c>
      <c r="B17" s="32">
        <v>1881.58</v>
      </c>
      <c r="C17" s="30">
        <v>52000.0</v>
      </c>
      <c r="D17" s="27">
        <f t="shared" si="1"/>
        <v>-50118.42</v>
      </c>
    </row>
    <row r="18">
      <c r="A18" s="24" t="s">
        <v>13</v>
      </c>
      <c r="B18" s="25">
        <v>1125.16</v>
      </c>
      <c r="C18" s="26">
        <v>35410.0</v>
      </c>
      <c r="D18" s="27">
        <f t="shared" si="1"/>
        <v>-34284.84</v>
      </c>
    </row>
    <row r="19" ht="15.75" customHeight="1">
      <c r="A19" s="28" t="s">
        <v>15</v>
      </c>
      <c r="B19" s="32">
        <v>57387.74</v>
      </c>
      <c r="C19" s="30">
        <v>205000.0</v>
      </c>
      <c r="D19" s="27">
        <f t="shared" si="1"/>
        <v>-147612.26</v>
      </c>
    </row>
    <row r="20" ht="15.75" customHeight="1"/>
    <row r="21" ht="21.75" customHeight="1">
      <c r="A21" s="21" t="s">
        <v>44</v>
      </c>
      <c r="B21" s="22"/>
      <c r="C21" s="22"/>
      <c r="D21" s="23"/>
    </row>
    <row r="22" ht="15.75" customHeight="1">
      <c r="A22" s="34" t="s">
        <v>45</v>
      </c>
      <c r="B22" s="35">
        <f t="shared" ref="B22:C22" si="2">B11/B12</f>
        <v>7.827160918</v>
      </c>
      <c r="C22" s="35">
        <f t="shared" si="2"/>
        <v>1.309090909</v>
      </c>
      <c r="D22" s="36">
        <f t="shared" ref="D22:D23" si="4">B22-C22</f>
        <v>6.518070009</v>
      </c>
    </row>
    <row r="23" ht="15.75" customHeight="1">
      <c r="A23" s="37" t="s">
        <v>46</v>
      </c>
      <c r="B23" s="35">
        <f t="shared" ref="B23:C23" si="3">(B11-B16)/B12</f>
        <v>6.345812928</v>
      </c>
      <c r="C23" s="35">
        <f t="shared" si="3"/>
        <v>1.154545455</v>
      </c>
      <c r="D23" s="38">
        <f t="shared" si="4"/>
        <v>5.191267474</v>
      </c>
    </row>
    <row r="24" ht="15.75" customHeight="1"/>
    <row r="25" ht="21.75" customHeight="1">
      <c r="A25" s="21" t="s">
        <v>47</v>
      </c>
      <c r="B25" s="22"/>
      <c r="C25" s="22"/>
      <c r="D25" s="23"/>
    </row>
    <row r="26" ht="15.75" customHeight="1">
      <c r="A26" s="24" t="s">
        <v>48</v>
      </c>
      <c r="B26" s="39">
        <v>0.0884</v>
      </c>
      <c r="C26" s="40">
        <v>4.166</v>
      </c>
      <c r="D26" s="41">
        <v>-4.0776</v>
      </c>
    </row>
    <row r="27" ht="15.75" customHeight="1">
      <c r="A27" s="28" t="s">
        <v>49</v>
      </c>
      <c r="B27" s="42">
        <v>0.2453</v>
      </c>
      <c r="C27" s="43">
        <v>1.603</v>
      </c>
      <c r="D27" s="44">
        <v>-1.3577</v>
      </c>
    </row>
    <row r="28" ht="15.75" customHeight="1">
      <c r="A28" s="24" t="s">
        <v>50</v>
      </c>
      <c r="B28" s="39">
        <v>0.0213</v>
      </c>
      <c r="C28" s="40">
        <v>0.219</v>
      </c>
      <c r="D28" s="41">
        <v>-0.1977</v>
      </c>
    </row>
    <row r="29" ht="15.75" customHeight="1"/>
    <row r="30" ht="21.75" customHeight="1">
      <c r="A30" s="21" t="s">
        <v>51</v>
      </c>
      <c r="B30" s="22"/>
      <c r="C30" s="22"/>
      <c r="D30" s="23"/>
    </row>
    <row r="31" ht="15.75" customHeight="1">
      <c r="A31" s="45" t="s">
        <v>52</v>
      </c>
      <c r="B31" s="46">
        <v>0.125</v>
      </c>
      <c r="C31" s="47">
        <v>0.5789</v>
      </c>
      <c r="D31" s="48">
        <v>-0.4539</v>
      </c>
    </row>
    <row r="32" ht="15.75" customHeight="1">
      <c r="A32" s="49" t="s">
        <v>53</v>
      </c>
      <c r="B32" s="42">
        <v>0.1428</v>
      </c>
      <c r="C32" s="43">
        <v>1.375</v>
      </c>
      <c r="D32" s="44">
        <v>-1.2322</v>
      </c>
      <c r="E32" s="50"/>
    </row>
    <row r="33" ht="15.75" customHeight="1"/>
    <row r="34" ht="21.75" customHeight="1">
      <c r="A34" s="21" t="s">
        <v>54</v>
      </c>
      <c r="B34" s="22"/>
      <c r="C34" s="22"/>
      <c r="D34" s="23"/>
    </row>
    <row r="35" ht="15.75" customHeight="1">
      <c r="A35" s="49" t="s">
        <v>55</v>
      </c>
      <c r="B35" s="42">
        <v>13.06</v>
      </c>
      <c r="C35" s="43">
        <v>2.499</v>
      </c>
      <c r="D35" s="51">
        <v>10.561</v>
      </c>
    </row>
    <row r="36" ht="15.75" customHeight="1"/>
    <row r="37" ht="21.75" customHeight="1">
      <c r="A37" s="21" t="s">
        <v>56</v>
      </c>
      <c r="B37" s="22"/>
      <c r="C37" s="22"/>
      <c r="D37" s="23"/>
    </row>
    <row r="38" ht="15.75" customHeight="1">
      <c r="A38" s="24" t="s">
        <v>57</v>
      </c>
      <c r="B38" s="46">
        <v>0.2803</v>
      </c>
      <c r="C38" s="47">
        <v>0.5751</v>
      </c>
      <c r="D38" s="48">
        <f t="shared" ref="D38:D43" si="6">B38-C38</f>
        <v>-0.2948</v>
      </c>
    </row>
    <row r="39" ht="15.75" customHeight="1">
      <c r="A39" s="28" t="s">
        <v>58</v>
      </c>
      <c r="B39" s="52">
        <f t="shared" ref="B39:C39" si="5">B8/B6</f>
        <v>2.074744774</v>
      </c>
      <c r="C39" s="52">
        <f t="shared" si="5"/>
        <v>0.4563887223</v>
      </c>
      <c r="D39" s="48">
        <f t="shared" si="6"/>
        <v>1.618356052</v>
      </c>
    </row>
    <row r="40" ht="15.75" customHeight="1">
      <c r="A40" s="24" t="s">
        <v>59</v>
      </c>
      <c r="B40" s="46">
        <v>1.6222</v>
      </c>
      <c r="C40" s="47">
        <v>0.6211</v>
      </c>
      <c r="D40" s="53">
        <f t="shared" si="6"/>
        <v>1.0011</v>
      </c>
    </row>
    <row r="41" ht="15.75" customHeight="1">
      <c r="A41" s="28" t="s">
        <v>60</v>
      </c>
      <c r="B41" s="52">
        <v>0.0389</v>
      </c>
      <c r="C41" s="54">
        <v>0.1362</v>
      </c>
      <c r="D41" s="48">
        <f t="shared" si="6"/>
        <v>-0.0973</v>
      </c>
    </row>
    <row r="42" ht="15.75" customHeight="1">
      <c r="A42" s="24" t="s">
        <v>61</v>
      </c>
      <c r="B42" s="46">
        <v>0.0444</v>
      </c>
      <c r="C42" s="47">
        <v>0.3236</v>
      </c>
      <c r="D42" s="48">
        <f t="shared" si="6"/>
        <v>-0.2792</v>
      </c>
    </row>
    <row r="43" ht="15.75" customHeight="1">
      <c r="A43" s="28" t="s">
        <v>62</v>
      </c>
      <c r="B43" s="52">
        <v>0.0565</v>
      </c>
      <c r="C43" s="54">
        <v>0.1856</v>
      </c>
      <c r="D43" s="48">
        <f t="shared" si="6"/>
        <v>-0.1291</v>
      </c>
    </row>
    <row r="44" ht="15.75" customHeight="1"/>
    <row r="45" ht="15.75" customHeight="1"/>
    <row r="46" ht="21.75" customHeight="1">
      <c r="A46" s="21" t="s">
        <v>63</v>
      </c>
      <c r="B46" s="22"/>
      <c r="C46" s="22"/>
      <c r="D46" s="23"/>
    </row>
    <row r="47" ht="64.5" customHeight="1">
      <c r="A47" s="55" t="s">
        <v>64</v>
      </c>
      <c r="B47" s="56" t="s">
        <v>65</v>
      </c>
      <c r="C47" s="57" t="s">
        <v>66</v>
      </c>
      <c r="D47" s="58"/>
    </row>
    <row r="48" ht="64.5" customHeight="1">
      <c r="A48" s="55" t="s">
        <v>67</v>
      </c>
      <c r="B48" s="56" t="s">
        <v>68</v>
      </c>
      <c r="C48" s="57" t="s">
        <v>69</v>
      </c>
      <c r="D48" s="58"/>
    </row>
    <row r="49" ht="64.5" customHeight="1">
      <c r="A49" s="55" t="s">
        <v>70</v>
      </c>
      <c r="B49" s="56" t="s">
        <v>71</v>
      </c>
      <c r="C49" s="57" t="s">
        <v>72</v>
      </c>
      <c r="D49" s="58"/>
    </row>
    <row r="50" ht="64.5" customHeight="1">
      <c r="A50" s="55" t="s">
        <v>73</v>
      </c>
      <c r="B50" s="56" t="s">
        <v>74</v>
      </c>
      <c r="C50" s="57" t="s">
        <v>75</v>
      </c>
      <c r="D50" s="58"/>
    </row>
    <row r="51" ht="64.5" customHeight="1">
      <c r="A51" s="55" t="s">
        <v>76</v>
      </c>
      <c r="B51" s="59" t="s">
        <v>77</v>
      </c>
      <c r="C51" s="57" t="s">
        <v>78</v>
      </c>
      <c r="D51" s="58"/>
    </row>
    <row r="52" ht="64.5" customHeight="1">
      <c r="A52" s="55" t="s">
        <v>79</v>
      </c>
      <c r="B52" s="56" t="s">
        <v>80</v>
      </c>
      <c r="C52" s="57" t="s">
        <v>81</v>
      </c>
      <c r="D52" s="58"/>
    </row>
    <row r="53" ht="15.75" customHeight="1"/>
    <row r="54" ht="36.0" customHeight="1">
      <c r="A54" s="60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0">
    <mergeCell ref="A34:D34"/>
    <mergeCell ref="A37:D37"/>
    <mergeCell ref="A46:D46"/>
    <mergeCell ref="A54:D54"/>
    <mergeCell ref="A1:D1"/>
    <mergeCell ref="A2:D2"/>
    <mergeCell ref="A5:D5"/>
    <mergeCell ref="A21:D21"/>
    <mergeCell ref="A25:D25"/>
    <mergeCell ref="A30:D30"/>
  </mergeCells>
  <printOptions/>
  <pageMargins bottom="1.0" footer="0.0" header="0.0" left="0.75" right="0.75" top="1.0"/>
  <pageSetup paperSize="9" orientation="portrait"/>
  <drawing r:id="rId1"/>
</worksheet>
</file>